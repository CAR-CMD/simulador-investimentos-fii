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Vieira\Desktop\Curso excel\"/>
    </mc:Choice>
  </mc:AlternateContent>
  <xr:revisionPtr revIDLastSave="0" documentId="13_ncr:2001_{3435EA1C-ED3C-4D0A-9F28-4F273775F443}" xr6:coauthVersionLast="47" xr6:coauthVersionMax="47" xr10:uidLastSave="{00000000-0000-0000-0000-000000000000}"/>
  <bookViews>
    <workbookView xWindow="28680" yWindow="-15" windowWidth="29040" windowHeight="15720" xr2:uid="{7B5DB7FE-4884-41F0-909B-12E2DAB7FBBA}"/>
  </bookViews>
  <sheets>
    <sheet name="Simulador" sheetId="1" r:id="rId1"/>
    <sheet name="Tabela de apoio" sheetId="2" r:id="rId2"/>
  </sheets>
  <definedNames>
    <definedName name="aporte">Simulador!$D$17</definedName>
    <definedName name="patrimonio">Simulador!$D$20</definedName>
    <definedName name="qtd_anos">Simulador!$D$18</definedName>
    <definedName name="Rendimento_carteira">Simulador!$D$13</definedName>
    <definedName name="salario">Simulador!$B$12</definedName>
    <definedName name="sugestao_investimento">Simulador!$B$14</definedName>
    <definedName name="taxa_mensal">Simulador!$D$19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C37" i="1"/>
  <c r="C38" i="1"/>
  <c r="C39" i="1"/>
  <c r="C40" i="1"/>
  <c r="C41" i="1"/>
  <c r="C36" i="1"/>
  <c r="A8" i="2"/>
  <c r="A9" i="2"/>
  <c r="A10" i="2"/>
  <c r="A11" i="2"/>
  <c r="A12" i="2"/>
  <c r="A13" i="2"/>
  <c r="A14" i="2"/>
  <c r="A15" i="2"/>
  <c r="A16" i="2"/>
  <c r="A17" i="2"/>
  <c r="A18" i="2"/>
  <c r="A19" i="2"/>
  <c r="A3" i="2"/>
  <c r="A4" i="2"/>
  <c r="A5" i="2"/>
  <c r="A6" i="2"/>
  <c r="A7" i="2"/>
  <c r="A2" i="2"/>
  <c r="C33" i="1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  <c r="D37" i="1" l="1"/>
  <c r="D38" i="1"/>
  <c r="D39" i="1"/>
  <c r="D40" i="1"/>
  <c r="D41" i="1"/>
  <c r="D36" i="1"/>
  <c r="D42" i="1"/>
</calcChain>
</file>

<file path=xl/sharedStrings.xml><?xml version="1.0" encoding="utf-8"?>
<sst xmlns="http://schemas.openxmlformats.org/spreadsheetml/2006/main" count="71" uniqueCount="35">
  <si>
    <t>Quanto investir por mês ?</t>
  </si>
  <si>
    <t>Por quantos anos?</t>
  </si>
  <si>
    <t>Taxa de rendimento mensal?</t>
  </si>
  <si>
    <t>Dividendos mensais ?</t>
  </si>
  <si>
    <t xml:space="preserve">INVESTIMENTO MENSAL </t>
  </si>
  <si>
    <t>Quanto em 2 Anos ?</t>
  </si>
  <si>
    <t>Quanto em 5 Anos ?</t>
  </si>
  <si>
    <t>Quanto em 10 Anos ?</t>
  </si>
  <si>
    <t>Quanto em 20 Anos ?</t>
  </si>
  <si>
    <t>Quanto em 30 Anos ?</t>
  </si>
  <si>
    <t>Cenários</t>
  </si>
  <si>
    <t>Dividendo</t>
  </si>
  <si>
    <t>Rendimento Carteira</t>
  </si>
  <si>
    <t>Salário</t>
  </si>
  <si>
    <t>CONFIGURAÇÕES</t>
  </si>
  <si>
    <t>Patrimônio acumulado?</t>
  </si>
  <si>
    <t xml:space="preserve">PERFIL </t>
  </si>
  <si>
    <t>Agressivo</t>
  </si>
  <si>
    <t>VALOR A SER INVESTIDO POR MÊS</t>
  </si>
  <si>
    <t>TIPO DE FII</t>
  </si>
  <si>
    <t xml:space="preserve">Percentual Sugerido </t>
  </si>
  <si>
    <t>Valores</t>
  </si>
  <si>
    <t>PAPEL</t>
  </si>
  <si>
    <t>TIJOLO</t>
  </si>
  <si>
    <t xml:space="preserve">HÍBRIDOS </t>
  </si>
  <si>
    <t>FOFs</t>
  </si>
  <si>
    <t>DESENVOLVIMENTO</t>
  </si>
  <si>
    <t>HOTELARIAS</t>
  </si>
  <si>
    <t>PERFIL</t>
  </si>
  <si>
    <t>Conservador</t>
  </si>
  <si>
    <t>%</t>
  </si>
  <si>
    <t>CHAVE</t>
  </si>
  <si>
    <t>Moderado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</si>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</sst>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7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1"/>
      <color theme="1"/>
      <name val="Segoe UI"/>
      <family val="2"/>
    </font>
    <font>
      <sz val="11"/>
      <color theme="1"/>
      <name val="Aptos Norrow"/>
    </font>
    <font>
      <sz val="18"/>
      <color theme="0"/>
      <name val="Aptos NORROW"/>
    </font>
    <font>
      <sz val="13"/>
      <color theme="1"/>
      <name val="Aptos Norrow"/>
    </font>
    <font>
      <sz val="12"/>
      <color theme="1"/>
      <name val="Aptos Norrow"/>
    </font>
    <font>
      <b/>
      <sz val="13"/>
      <color theme="1"/>
      <name val="Aptos Norrow"/>
    </font>
    <font>
      <sz val="11"/>
      <color rgb="FF9C5700"/>
      <name val="Calibri"/>
      <family val="2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orrow"/>
    </font>
  </fonts>
  <fills count="10">
    <fill>
      <patternFill patternType="none"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2" fillId="8" borderId="0" applyNumberFormat="0" applyBorder="0" applyAlignment="0" applyProtection="0"/>
  </cellStyleXfs>
  <cellXfs count="61">
    <xf numFmtId="0" fontId="0" fillId="0" borderId="0" xfId="0"/>
    <xf numFmtId="0" fontId="3" fillId="3" borderId="0" xfId="0" applyFont="1" applyFill="1"/>
    <xf numFmtId="0" fontId="4" fillId="2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vertical="center"/>
    </xf>
    <xf numFmtId="164" fontId="0" fillId="0" borderId="7" xfId="1" applyNumberFormat="1" applyFon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64" fontId="0" fillId="0" borderId="13" xfId="1" applyNumberFormat="1" applyFont="1" applyBorder="1" applyAlignment="1">
      <alignment horizontal="center"/>
    </xf>
    <xf numFmtId="164" fontId="2" fillId="0" borderId="16" xfId="1" applyNumberFormat="1" applyFont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10" fontId="2" fillId="0" borderId="18" xfId="0" applyNumberFormat="1" applyFont="1" applyBorder="1" applyAlignment="1">
      <alignment horizontal="center"/>
    </xf>
    <xf numFmtId="8" fontId="2" fillId="0" borderId="18" xfId="0" applyNumberFormat="1" applyFont="1" applyBorder="1" applyAlignment="1">
      <alignment horizontal="center"/>
    </xf>
    <xf numFmtId="8" fontId="2" fillId="0" borderId="21" xfId="0" applyNumberFormat="1" applyFont="1" applyBorder="1" applyAlignment="1">
      <alignment horizontal="center"/>
    </xf>
    <xf numFmtId="0" fontId="10" fillId="6" borderId="22" xfId="0" applyFont="1" applyFill="1" applyBorder="1" applyAlignment="1">
      <alignment horizontal="left" indent="3"/>
    </xf>
    <xf numFmtId="164" fontId="6" fillId="6" borderId="23" xfId="0" applyNumberFormat="1" applyFont="1" applyFill="1" applyBorder="1" applyAlignment="1">
      <alignment horizontal="center"/>
    </xf>
    <xf numFmtId="164" fontId="6" fillId="6" borderId="24" xfId="0" applyNumberFormat="1" applyFont="1" applyFill="1" applyBorder="1" applyAlignment="1">
      <alignment horizontal="center"/>
    </xf>
    <xf numFmtId="0" fontId="10" fillId="6" borderId="25" xfId="0" applyFont="1" applyFill="1" applyBorder="1" applyAlignment="1">
      <alignment horizontal="left" indent="3"/>
    </xf>
    <xf numFmtId="164" fontId="6" fillId="6" borderId="26" xfId="0" applyNumberFormat="1" applyFont="1" applyFill="1" applyBorder="1" applyAlignment="1">
      <alignment horizontal="center"/>
    </xf>
    <xf numFmtId="164" fontId="6" fillId="6" borderId="27" xfId="0" applyNumberFormat="1" applyFont="1" applyFill="1" applyBorder="1" applyAlignment="1">
      <alignment horizontal="center"/>
    </xf>
    <xf numFmtId="0" fontId="10" fillId="6" borderId="28" xfId="0" applyFont="1" applyFill="1" applyBorder="1" applyAlignment="1">
      <alignment horizontal="left" indent="3"/>
    </xf>
    <xf numFmtId="164" fontId="6" fillId="6" borderId="29" xfId="0" applyNumberFormat="1" applyFont="1" applyFill="1" applyBorder="1" applyAlignment="1">
      <alignment horizontal="center"/>
    </xf>
    <xf numFmtId="164" fontId="6" fillId="6" borderId="30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left" indent="3"/>
    </xf>
    <xf numFmtId="0" fontId="9" fillId="0" borderId="4" xfId="0" applyFont="1" applyBorder="1" applyAlignment="1">
      <alignment horizontal="left" indent="3"/>
    </xf>
    <xf numFmtId="0" fontId="11" fillId="5" borderId="17" xfId="0" applyFont="1" applyFill="1" applyBorder="1" applyAlignment="1">
      <alignment horizontal="left" indent="3"/>
    </xf>
    <xf numFmtId="0" fontId="11" fillId="5" borderId="4" xfId="0" applyFont="1" applyFill="1" applyBorder="1" applyAlignment="1">
      <alignment horizontal="left" indent="3"/>
    </xf>
    <xf numFmtId="0" fontId="11" fillId="5" borderId="19" xfId="0" applyFont="1" applyFill="1" applyBorder="1" applyAlignment="1">
      <alignment horizontal="left" indent="3"/>
    </xf>
    <xf numFmtId="0" fontId="11" fillId="5" borderId="20" xfId="0" applyFont="1" applyFill="1" applyBorder="1" applyAlignment="1">
      <alignment horizontal="left" indent="3"/>
    </xf>
    <xf numFmtId="0" fontId="7" fillId="5" borderId="5" xfId="0" applyFont="1" applyFill="1" applyBorder="1" applyAlignment="1">
      <alignment horizontal="left" indent="3"/>
    </xf>
    <xf numFmtId="0" fontId="7" fillId="5" borderId="6" xfId="0" applyFont="1" applyFill="1" applyBorder="1" applyAlignment="1">
      <alignment horizontal="left" indent="3"/>
    </xf>
    <xf numFmtId="0" fontId="7" fillId="5" borderId="8" xfId="0" applyFont="1" applyFill="1" applyBorder="1" applyAlignment="1">
      <alignment horizontal="left" indent="3"/>
    </xf>
    <xf numFmtId="0" fontId="7" fillId="5" borderId="9" xfId="0" applyFont="1" applyFill="1" applyBorder="1" applyAlignment="1">
      <alignment horizontal="left" indent="3"/>
    </xf>
    <xf numFmtId="0" fontId="7" fillId="5" borderId="11" xfId="0" applyFont="1" applyFill="1" applyBorder="1" applyAlignment="1">
      <alignment horizontal="left" indent="3"/>
    </xf>
    <xf numFmtId="0" fontId="7" fillId="5" borderId="12" xfId="0" applyFont="1" applyFill="1" applyBorder="1" applyAlignment="1">
      <alignment horizontal="left" indent="3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indent="3"/>
    </xf>
    <xf numFmtId="0" fontId="9" fillId="0" borderId="15" xfId="0" applyFont="1" applyBorder="1" applyAlignment="1">
      <alignment horizontal="left" indent="3"/>
    </xf>
    <xf numFmtId="0" fontId="12" fillId="8" borderId="0" xfId="2"/>
    <xf numFmtId="0" fontId="0" fillId="5" borderId="0" xfId="0" applyFill="1"/>
    <xf numFmtId="0" fontId="13" fillId="8" borderId="0" xfId="2" applyFont="1" applyAlignment="1">
      <alignment horizontal="left"/>
    </xf>
    <xf numFmtId="0" fontId="13" fillId="8" borderId="0" xfId="2" applyFont="1" applyAlignment="1">
      <alignment horizontal="center"/>
    </xf>
    <xf numFmtId="0" fontId="14" fillId="5" borderId="0" xfId="0" applyFont="1" applyFill="1" applyAlignment="1">
      <alignment horizontal="left"/>
    </xf>
    <xf numFmtId="164" fontId="15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6" fillId="9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9" borderId="0" xfId="0" applyFont="1" applyFill="1"/>
    <xf numFmtId="9" fontId="0" fillId="0" borderId="0" xfId="0" applyNumberFormat="1"/>
    <xf numFmtId="0" fontId="0" fillId="0" borderId="31" xfId="0" applyBorder="1"/>
    <xf numFmtId="0" fontId="10" fillId="0" borderId="31" xfId="0" applyFont="1" applyBorder="1" applyAlignment="1">
      <alignment horizontal="center"/>
    </xf>
    <xf numFmtId="0" fontId="0" fillId="0" borderId="0" xfId="0" applyBorder="1"/>
    <xf numFmtId="0" fontId="10" fillId="0" borderId="0" xfId="0" applyFont="1" applyBorder="1" applyAlignment="1">
      <alignment horizontal="center"/>
    </xf>
    <xf numFmtId="9" fontId="0" fillId="0" borderId="31" xfId="0" applyNumberFormat="1" applyBorder="1"/>
    <xf numFmtId="9" fontId="0" fillId="0" borderId="0" xfId="0" applyNumberFormat="1" applyFill="1" applyBorder="1"/>
    <xf numFmtId="9" fontId="0" fillId="0" borderId="31" xfId="0" applyNumberFormat="1" applyFill="1" applyBorder="1"/>
    <xf numFmtId="164" fontId="16" fillId="9" borderId="0" xfId="0" applyNumberFormat="1" applyFont="1" applyFill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FFC000"/>
      <color rgb="FFD9D9D9"/>
      <color rgb="FF196B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Simulador!$C$35</c:f>
              <c:strCache>
                <c:ptCount val="1"/>
                <c:pt idx="0">
                  <c:v>Percentual Sugerido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 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3-47BA-97EC-0270ECDF6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561977</xdr:colOff>
      <xdr:row>0</xdr:row>
      <xdr:rowOff>76200</xdr:rowOff>
    </xdr:from>
    <xdr:to>
      <xdr:col>3</xdr:col>
      <xdr:colOff>882650</xdr:colOff>
      <xdr:row>9</xdr:row>
      <xdr:rowOff>82918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4A752F4-509C-48F4-B101-E055610D30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61977" y="76200"/>
          <a:ext cx="9172573" cy="1635493"/>
        </a:xfrm>
        <a:prstGeom prst="rect">
          <a:avLst/>
        </a:prstGeom>
      </xdr:spPr>
    </xdr:pic>
    <xdr:clientData/>
  </xdr:twoCellAnchor>
  <xdr:twoCellAnchor>
    <xdr:from>
      <xdr:col>1</xdr:col>
      <xdr:colOff>2046287</xdr:colOff>
      <xdr:row>43</xdr:row>
      <xdr:rowOff>123825</xdr:rowOff>
    </xdr:from>
    <xdr:to>
      <xdr:col>2</xdr:col>
      <xdr:colOff>1779587</xdr:colOff>
      <xdr:row>58</xdr:row>
      <xdr:rowOff>149225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189285-B53D-5FFD-8FC7-26C9EF006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6E63-9170-44C6-AB82-8BED72C0B48E}">
  <dimension ref="A10:H66"/>
  <sheetViews>
    <sheetView showGridLines="0" tabSelected="1" topLeftCell="A24" workbookViewId="0">
      <selection activeCell="D54" sqref="D54"/>
    </sheetView>
  </sheetViews>
  <sheetFormatPr defaultColWidth="0" defaultRowHeight="14.5"/>
  <cols>
    <col min="1" max="1" width="8.7265625" customWidth="1"/>
    <col min="2" max="2" width="69.26953125" customWidth="1"/>
    <col min="3" max="3" width="48.6328125" customWidth="1"/>
    <col min="4" max="4" width="13.1796875" bestFit="1" customWidth="1"/>
    <col min="5" max="5" width="2.81640625" customWidth="1"/>
    <col min="6" max="6" width="2.90625" customWidth="1"/>
    <col min="7" max="7" width="1.81640625" customWidth="1"/>
    <col min="8" max="8" width="2.1796875" customWidth="1"/>
    <col min="9" max="16384" width="6.1796875" hidden="1"/>
  </cols>
  <sheetData>
    <row r="10" spans="2:4" ht="15" thickBot="1"/>
    <row r="11" spans="2:4" ht="22.5">
      <c r="B11" s="22" t="s">
        <v>14</v>
      </c>
      <c r="C11" s="23"/>
      <c r="D11" s="4"/>
    </row>
    <row r="12" spans="2:4">
      <c r="B12" s="30" t="s">
        <v>13</v>
      </c>
      <c r="C12" s="31"/>
      <c r="D12" s="5">
        <v>4200</v>
      </c>
    </row>
    <row r="13" spans="2:4">
      <c r="B13" s="32" t="s">
        <v>12</v>
      </c>
      <c r="C13" s="33"/>
      <c r="D13" s="6">
        <v>6.0000000000000001E-3</v>
      </c>
    </row>
    <row r="14" spans="2:4" ht="15" thickBot="1">
      <c r="B14" s="34" t="s">
        <v>34</v>
      </c>
      <c r="C14" s="35"/>
      <c r="D14" s="7">
        <f>D12*30%</f>
        <v>1260</v>
      </c>
    </row>
    <row r="15" spans="2:4" ht="15" thickBot="1"/>
    <row r="16" spans="2:4" ht="30.5" customHeight="1" thickBot="1">
      <c r="B16" s="36" t="s">
        <v>4</v>
      </c>
      <c r="C16" s="37"/>
      <c r="D16" s="2"/>
    </row>
    <row r="17" spans="1:4" ht="16.5">
      <c r="B17" s="38" t="s">
        <v>0</v>
      </c>
      <c r="C17" s="39"/>
      <c r="D17" s="8">
        <v>200</v>
      </c>
    </row>
    <row r="18" spans="1:4" ht="15" customHeight="1">
      <c r="B18" s="24" t="s">
        <v>1</v>
      </c>
      <c r="C18" s="25"/>
      <c r="D18" s="9">
        <v>5</v>
      </c>
    </row>
    <row r="19" spans="1:4" ht="15" customHeight="1">
      <c r="B19" s="24" t="s">
        <v>2</v>
      </c>
      <c r="C19" s="25"/>
      <c r="D19" s="10">
        <v>1.0789999999999999E-2</v>
      </c>
    </row>
    <row r="20" spans="1:4" ht="15" customHeight="1">
      <c r="B20" s="26" t="s">
        <v>15</v>
      </c>
      <c r="C20" s="27"/>
      <c r="D20" s="11">
        <f>FV(taxa_mensal,qtd_anos*12,aporte*-1)</f>
        <v>16755.382799697527</v>
      </c>
    </row>
    <row r="21" spans="1:4" ht="15" customHeight="1" thickBot="1">
      <c r="B21" s="28" t="s">
        <v>3</v>
      </c>
      <c r="C21" s="29"/>
      <c r="D21" s="12">
        <f>patrimonio*$D$13</f>
        <v>100.53229679818516</v>
      </c>
    </row>
    <row r="22" spans="1:4" ht="15" thickBot="1"/>
    <row r="23" spans="1:4" ht="29">
      <c r="B23" s="36" t="s">
        <v>10</v>
      </c>
      <c r="C23" s="37"/>
      <c r="D23" s="3" t="s">
        <v>11</v>
      </c>
    </row>
    <row r="24" spans="1:4" ht="16.5">
      <c r="A24" s="1">
        <v>2</v>
      </c>
      <c r="B24" s="13" t="s">
        <v>5</v>
      </c>
      <c r="C24" s="14">
        <f>FV($D$19,$A24*12,$D$17*-1)</f>
        <v>5445.5254595290435</v>
      </c>
      <c r="D24" s="15">
        <f>C24*Rendimento_carteira</f>
        <v>32.673152757174265</v>
      </c>
    </row>
    <row r="25" spans="1:4" ht="16.5">
      <c r="A25" s="1">
        <v>5</v>
      </c>
      <c r="B25" s="16" t="s">
        <v>6</v>
      </c>
      <c r="C25" s="17">
        <f>FV($D$19,$A25*12,$D$17*-1)</f>
        <v>16755.382799697527</v>
      </c>
      <c r="D25" s="18">
        <f>C25*Rendimento_carteira</f>
        <v>100.53229679818516</v>
      </c>
    </row>
    <row r="26" spans="1:4" ht="16.5">
      <c r="A26" s="1">
        <v>10</v>
      </c>
      <c r="B26" s="16" t="s">
        <v>7</v>
      </c>
      <c r="C26" s="17">
        <f>FV($D$19,$A26*12,$D$17*-1)</f>
        <v>48656.842506034438</v>
      </c>
      <c r="D26" s="18">
        <f>C26*Rendimento_carteira</f>
        <v>291.94105503620665</v>
      </c>
    </row>
    <row r="27" spans="1:4" ht="16.5">
      <c r="A27" s="1">
        <v>20</v>
      </c>
      <c r="B27" s="16" t="s">
        <v>8</v>
      </c>
      <c r="C27" s="17">
        <f>FV($D$19,$A27*12,$D$17*-1)</f>
        <v>225039.68001941612</v>
      </c>
      <c r="D27" s="18">
        <f>C27*Rendimento_carteira</f>
        <v>1350.2380801164968</v>
      </c>
    </row>
    <row r="28" spans="1:4" ht="17" thickBot="1">
      <c r="A28" s="1">
        <v>30</v>
      </c>
      <c r="B28" s="19" t="s">
        <v>9</v>
      </c>
      <c r="C28" s="20">
        <f>FV($D$19,$A28*12,$D$17*-1)</f>
        <v>864433.93100094295</v>
      </c>
      <c r="D28" s="21">
        <f>C28*Rendimento_carteira</f>
        <v>5186.6035860056581</v>
      </c>
    </row>
    <row r="32" spans="1:4" ht="16">
      <c r="B32" s="42" t="s">
        <v>16</v>
      </c>
      <c r="C32" s="43" t="s">
        <v>17</v>
      </c>
      <c r="D32" s="40"/>
    </row>
    <row r="33" spans="2:4" ht="16">
      <c r="B33" s="44" t="s">
        <v>18</v>
      </c>
      <c r="C33" s="45">
        <f>aporte</f>
        <v>200</v>
      </c>
      <c r="D33" s="41"/>
    </row>
    <row r="35" spans="2:4" ht="15.5">
      <c r="B35" s="47" t="s">
        <v>19</v>
      </c>
      <c r="C35" s="47" t="s">
        <v>20</v>
      </c>
      <c r="D35" s="47" t="s">
        <v>21</v>
      </c>
    </row>
    <row r="36" spans="2:4" ht="15.5">
      <c r="B36" s="48" t="s">
        <v>22</v>
      </c>
      <c r="C36" s="49">
        <f>VLOOKUP($C$32&amp;"-"&amp;B36,'Tabela de apoio'!$A:$D,4,0)</f>
        <v>0.5</v>
      </c>
      <c r="D36" s="50">
        <f>C36*$C$33</f>
        <v>100</v>
      </c>
    </row>
    <row r="37" spans="2:4" ht="15.5">
      <c r="B37" s="48" t="s">
        <v>23</v>
      </c>
      <c r="C37" s="49">
        <f>VLOOKUP($C$32&amp;"-"&amp;B37,'Tabela de apoio'!$A:$D,4,0)</f>
        <v>0.1</v>
      </c>
      <c r="D37" s="50">
        <f t="shared" ref="D37:D41" si="0">C37*$C$33</f>
        <v>20</v>
      </c>
    </row>
    <row r="38" spans="2:4" ht="15.5">
      <c r="B38" s="48" t="s">
        <v>24</v>
      </c>
      <c r="C38" s="49">
        <f>VLOOKUP($C$32&amp;"-"&amp;B38,'Tabela de apoio'!$A:$D,4,0)</f>
        <v>0.05</v>
      </c>
      <c r="D38" s="50">
        <f t="shared" si="0"/>
        <v>10</v>
      </c>
    </row>
    <row r="39" spans="2:4" ht="15.5">
      <c r="B39" s="48" t="s">
        <v>25</v>
      </c>
      <c r="C39" s="49">
        <f>VLOOKUP($C$32&amp;"-"&amp;B39,'Tabela de apoio'!$A:$D,4,0)</f>
        <v>0.05</v>
      </c>
      <c r="D39" s="50">
        <f t="shared" si="0"/>
        <v>10</v>
      </c>
    </row>
    <row r="40" spans="2:4" ht="15.5">
      <c r="B40" s="48" t="s">
        <v>26</v>
      </c>
      <c r="C40" s="49">
        <f>VLOOKUP($C$32&amp;"-"&amp;B40,'Tabela de apoio'!$A:$D,4,0)</f>
        <v>0.2</v>
      </c>
      <c r="D40" s="50">
        <f t="shared" si="0"/>
        <v>40</v>
      </c>
    </row>
    <row r="41" spans="2:4" ht="15.5">
      <c r="B41" s="48" t="s">
        <v>27</v>
      </c>
      <c r="C41" s="49">
        <f>VLOOKUP($C$32&amp;"-"&amp;B41,'Tabela de apoio'!$A:$D,4,0)</f>
        <v>0.1</v>
      </c>
      <c r="D41" s="50">
        <f t="shared" si="0"/>
        <v>20</v>
      </c>
    </row>
    <row r="42" spans="2:4" ht="15.5">
      <c r="B42" s="51"/>
      <c r="C42" s="51"/>
      <c r="D42" s="60">
        <f>SUM(D36:D41)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</sheetData>
  <mergeCells count="11">
    <mergeCell ref="B23:C23"/>
    <mergeCell ref="B17:C17"/>
    <mergeCell ref="B18:C18"/>
    <mergeCell ref="B11:C11"/>
    <mergeCell ref="B19:C19"/>
    <mergeCell ref="B20:C20"/>
    <mergeCell ref="B21:C21"/>
    <mergeCell ref="B12:C12"/>
    <mergeCell ref="B13:C13"/>
    <mergeCell ref="B14:C14"/>
    <mergeCell ref="B16:C16"/>
  </mergeCells>
  <dataValidations count="1">
    <dataValidation type="list" allowBlank="1" showInputMessage="1" showErrorMessage="1" sqref="C32" xr:uid="{666297F0-6681-4F15-9A4F-CDC59D262A41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E161-2B8C-4021-B33F-182AA01E49E5}">
  <dimension ref="A1:H19"/>
  <sheetViews>
    <sheetView workbookViewId="0">
      <selection activeCell="H6" sqref="H6"/>
    </sheetView>
  </sheetViews>
  <sheetFormatPr defaultRowHeight="14.5"/>
  <cols>
    <col min="1" max="1" width="23.1796875" bestFit="1" customWidth="1"/>
    <col min="2" max="2" width="11.54296875" bestFit="1" customWidth="1"/>
    <col min="3" max="3" width="23.1796875" bestFit="1" customWidth="1"/>
    <col min="7" max="7" width="16.1796875" bestFit="1" customWidth="1"/>
  </cols>
  <sheetData>
    <row r="1" spans="1:8">
      <c r="A1" t="s">
        <v>31</v>
      </c>
      <c r="B1" s="46" t="s">
        <v>28</v>
      </c>
      <c r="C1" s="46" t="s">
        <v>19</v>
      </c>
      <c r="D1" s="46" t="s">
        <v>30</v>
      </c>
    </row>
    <row r="2" spans="1:8" ht="15.5">
      <c r="A2" t="str">
        <f>B2&amp;"-"&amp;C2</f>
        <v>Conservador-PAPEL</v>
      </c>
      <c r="B2" t="s">
        <v>29</v>
      </c>
      <c r="C2" s="48" t="s">
        <v>22</v>
      </c>
      <c r="D2" s="52">
        <v>0.3</v>
      </c>
    </row>
    <row r="3" spans="1:8" ht="15.5">
      <c r="A3" t="str">
        <f t="shared" ref="A3:A19" si="0">B3&amp;"-"&amp;C3</f>
        <v>Conservador-TIJOLO</v>
      </c>
      <c r="B3" t="s">
        <v>29</v>
      </c>
      <c r="C3" s="48" t="s">
        <v>23</v>
      </c>
      <c r="D3" s="52">
        <v>0.5</v>
      </c>
      <c r="H3" t="s">
        <v>30</v>
      </c>
    </row>
    <row r="4" spans="1:8" ht="15.5">
      <c r="A4" t="str">
        <f t="shared" si="0"/>
        <v xml:space="preserve">Conservador-HÍBRIDOS </v>
      </c>
      <c r="B4" t="s">
        <v>29</v>
      </c>
      <c r="C4" s="48" t="s">
        <v>24</v>
      </c>
      <c r="D4" s="52">
        <v>0.1</v>
      </c>
      <c r="G4" s="40" t="s">
        <v>33</v>
      </c>
      <c r="H4" s="40"/>
    </row>
    <row r="5" spans="1:8" ht="15.5">
      <c r="A5" t="str">
        <f t="shared" si="0"/>
        <v>Conservador-FOFs</v>
      </c>
      <c r="B5" t="s">
        <v>29</v>
      </c>
      <c r="C5" s="48" t="s">
        <v>25</v>
      </c>
      <c r="D5" s="52">
        <v>0.1</v>
      </c>
    </row>
    <row r="6" spans="1:8" ht="15.5">
      <c r="A6" t="str">
        <f t="shared" si="0"/>
        <v>Conservador-DESENVOLVIMENTO</v>
      </c>
      <c r="B6" t="s">
        <v>29</v>
      </c>
      <c r="C6" s="48" t="s">
        <v>26</v>
      </c>
      <c r="D6" s="52">
        <v>0</v>
      </c>
    </row>
    <row r="7" spans="1:8" ht="16" thickBot="1">
      <c r="A7" s="53" t="str">
        <f t="shared" si="0"/>
        <v>Conservador-HOTELARIAS</v>
      </c>
      <c r="B7" s="53" t="s">
        <v>29</v>
      </c>
      <c r="C7" s="54" t="s">
        <v>27</v>
      </c>
      <c r="D7" s="57">
        <v>0</v>
      </c>
    </row>
    <row r="8" spans="1:8" ht="15.5">
      <c r="A8" s="55" t="str">
        <f t="shared" si="0"/>
        <v>Moderado-PAPEL</v>
      </c>
      <c r="B8" s="55" t="s">
        <v>32</v>
      </c>
      <c r="C8" s="56" t="s">
        <v>22</v>
      </c>
      <c r="D8" s="58">
        <v>0.32</v>
      </c>
    </row>
    <row r="9" spans="1:8" ht="15.5">
      <c r="A9" t="str">
        <f t="shared" si="0"/>
        <v>Moderado-TIJOLO</v>
      </c>
      <c r="B9" t="s">
        <v>32</v>
      </c>
      <c r="C9" s="48" t="s">
        <v>23</v>
      </c>
      <c r="D9" s="58">
        <v>0.4</v>
      </c>
    </row>
    <row r="10" spans="1:8" ht="15.5">
      <c r="A10" t="str">
        <f t="shared" si="0"/>
        <v xml:space="preserve">Moderado-HÍBRIDOS </v>
      </c>
      <c r="B10" t="s">
        <v>32</v>
      </c>
      <c r="C10" s="48" t="s">
        <v>24</v>
      </c>
      <c r="D10" s="58">
        <v>0.08</v>
      </c>
    </row>
    <row r="11" spans="1:8" ht="15.5">
      <c r="A11" t="str">
        <f t="shared" si="0"/>
        <v>Moderado-FOFs</v>
      </c>
      <c r="B11" t="s">
        <v>32</v>
      </c>
      <c r="C11" s="48" t="s">
        <v>25</v>
      </c>
      <c r="D11" s="58">
        <v>0.1</v>
      </c>
    </row>
    <row r="12" spans="1:8" ht="15.5">
      <c r="A12" t="str">
        <f t="shared" si="0"/>
        <v>Moderado-DESENVOLVIMENTO</v>
      </c>
      <c r="B12" t="s">
        <v>32</v>
      </c>
      <c r="C12" s="48" t="s">
        <v>26</v>
      </c>
      <c r="D12" s="58">
        <v>0.1</v>
      </c>
    </row>
    <row r="13" spans="1:8" ht="16" thickBot="1">
      <c r="A13" s="53" t="str">
        <f t="shared" si="0"/>
        <v>Moderado-HOTELARIAS</v>
      </c>
      <c r="B13" s="53" t="s">
        <v>32</v>
      </c>
      <c r="C13" s="54" t="s">
        <v>27</v>
      </c>
      <c r="D13" s="59">
        <v>0.1</v>
      </c>
    </row>
    <row r="14" spans="1:8" ht="15.5">
      <c r="A14" s="55" t="str">
        <f t="shared" si="0"/>
        <v>Agressivo-PAPEL</v>
      </c>
      <c r="B14" s="55" t="s">
        <v>17</v>
      </c>
      <c r="C14" s="56" t="s">
        <v>22</v>
      </c>
      <c r="D14" s="58">
        <v>0.5</v>
      </c>
    </row>
    <row r="15" spans="1:8" ht="15.5">
      <c r="A15" t="str">
        <f t="shared" si="0"/>
        <v>Agressivo-TIJOLO</v>
      </c>
      <c r="B15" t="s">
        <v>17</v>
      </c>
      <c r="C15" s="48" t="s">
        <v>23</v>
      </c>
      <c r="D15" s="58">
        <v>0.1</v>
      </c>
    </row>
    <row r="16" spans="1:8" ht="15.5">
      <c r="A16" t="str">
        <f t="shared" si="0"/>
        <v xml:space="preserve">Agressivo-HÍBRIDOS </v>
      </c>
      <c r="B16" t="s">
        <v>17</v>
      </c>
      <c r="C16" s="48" t="s">
        <v>24</v>
      </c>
      <c r="D16" s="58">
        <v>0.05</v>
      </c>
    </row>
    <row r="17" spans="1:4" ht="15.5">
      <c r="A17" t="str">
        <f t="shared" si="0"/>
        <v>Agressivo-FOFs</v>
      </c>
      <c r="B17" t="s">
        <v>17</v>
      </c>
      <c r="C17" s="48" t="s">
        <v>25</v>
      </c>
      <c r="D17" s="58">
        <v>0.05</v>
      </c>
    </row>
    <row r="18" spans="1:4" ht="15.5">
      <c r="A18" t="str">
        <f t="shared" si="0"/>
        <v>Agressivo-DESENVOLVIMENTO</v>
      </c>
      <c r="B18" t="s">
        <v>17</v>
      </c>
      <c r="C18" s="48" t="s">
        <v>26</v>
      </c>
      <c r="D18" s="58">
        <v>0.2</v>
      </c>
    </row>
    <row r="19" spans="1:4" ht="15.5">
      <c r="A19" t="str">
        <f t="shared" si="0"/>
        <v>Agressivo-HOTELARIAS</v>
      </c>
      <c r="B19" t="s">
        <v>17</v>
      </c>
      <c r="C19" s="48" t="s">
        <v>27</v>
      </c>
      <c r="D19" s="5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Tabela de 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Vieira</dc:creator>
  <cp:lastModifiedBy>Carlos Vieira</cp:lastModifiedBy>
  <dcterms:created xsi:type="dcterms:W3CDTF">2026-08-24T17:09:19Z</dcterms:created>
  <dcterms:modified xsi:type="dcterms:W3CDTF">2026-08-24T20:58:23Z</dcterms:modified>
</cp:coreProperties>
</file>